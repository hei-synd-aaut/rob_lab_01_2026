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edric.lenoir\Documents\GIT_Lab\aaut-lab-03_2026\imgRobot\"/>
    </mc:Choice>
  </mc:AlternateContent>
  <xr:revisionPtr revIDLastSave="0" documentId="13_ncr:1_{0A35DC0D-528E-41C9-B419-95B067D1E261}" xr6:coauthVersionLast="36" xr6:coauthVersionMax="47" xr10:uidLastSave="{00000000-0000-0000-0000-000000000000}"/>
  <bookViews>
    <workbookView xWindow="57480" yWindow="9690" windowWidth="29040" windowHeight="15840" activeTab="3" xr2:uid="{02B98A60-CA9A-4236-A587-E584D54A8595}"/>
  </bookViews>
  <sheets>
    <sheet name="Z -30" sheetId="1" r:id="rId1"/>
    <sheet name="Z -40" sheetId="2" r:id="rId2"/>
    <sheet name="Z -50" sheetId="3" r:id="rId3"/>
    <sheet name="Z -50 get pixels en position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4" l="1"/>
  <c r="K35" i="4" l="1"/>
  <c r="P10" i="4"/>
  <c r="P3" i="4"/>
  <c r="P4" i="4"/>
  <c r="P5" i="4"/>
  <c r="P6" i="4"/>
  <c r="P7" i="4"/>
  <c r="P8" i="4"/>
  <c r="P9" i="4"/>
  <c r="O2" i="4"/>
  <c r="P2" i="4" s="1"/>
  <c r="U6" i="4"/>
  <c r="U4" i="4"/>
  <c r="U2" i="4"/>
  <c r="T6" i="4"/>
  <c r="T4" i="4"/>
  <c r="T2" i="4"/>
  <c r="P30" i="4"/>
  <c r="S30" i="4"/>
  <c r="R30" i="4"/>
  <c r="Q30" i="4"/>
  <c r="S29" i="4"/>
  <c r="S28" i="4"/>
  <c r="S27" i="4"/>
  <c r="S26" i="4"/>
  <c r="S25" i="4"/>
  <c r="S24" i="4"/>
  <c r="R29" i="4"/>
  <c r="R28" i="4"/>
  <c r="R27" i="4"/>
  <c r="R26" i="4"/>
  <c r="R25" i="4"/>
  <c r="R24" i="4"/>
  <c r="Q25" i="4"/>
  <c r="Q26" i="4"/>
  <c r="Q27" i="4"/>
  <c r="Q28" i="4"/>
  <c r="Q29" i="4"/>
  <c r="Q24" i="4"/>
  <c r="S14" i="4"/>
  <c r="S13" i="4"/>
  <c r="S12" i="4"/>
  <c r="R14" i="4"/>
  <c r="R13" i="4"/>
  <c r="R12" i="4"/>
  <c r="Q14" i="4"/>
  <c r="Q13" i="4"/>
  <c r="Q12" i="4"/>
  <c r="S7" i="4"/>
  <c r="S6" i="4"/>
  <c r="S5" i="4"/>
  <c r="S4" i="4"/>
  <c r="S3" i="4"/>
  <c r="S2" i="4"/>
  <c r="R7" i="4"/>
  <c r="R6" i="4"/>
  <c r="R5" i="4"/>
  <c r="R4" i="4"/>
  <c r="R3" i="4"/>
  <c r="R2" i="4"/>
  <c r="Q7" i="4"/>
  <c r="Q6" i="4"/>
  <c r="Q5" i="4"/>
  <c r="Q4" i="4"/>
  <c r="Q3" i="4"/>
  <c r="Q2" i="4"/>
  <c r="F32" i="4"/>
  <c r="L30" i="4"/>
  <c r="G30" i="4"/>
  <c r="H30" i="4"/>
  <c r="I30" i="4"/>
  <c r="J30" i="4"/>
  <c r="K30" i="4"/>
  <c r="F30" i="4"/>
  <c r="K29" i="4"/>
  <c r="J29" i="4"/>
  <c r="K28" i="4"/>
  <c r="J28" i="4"/>
  <c r="K27" i="4"/>
  <c r="J27" i="4"/>
  <c r="K26" i="4"/>
  <c r="J26" i="4"/>
  <c r="K25" i="4"/>
  <c r="J25" i="4"/>
  <c r="K24" i="4"/>
  <c r="J24" i="4"/>
  <c r="I29" i="4"/>
  <c r="H29" i="4"/>
  <c r="I28" i="4"/>
  <c r="H28" i="4"/>
  <c r="I27" i="4"/>
  <c r="H27" i="4"/>
  <c r="I26" i="4"/>
  <c r="H26" i="4"/>
  <c r="I25" i="4"/>
  <c r="H25" i="4"/>
  <c r="I24" i="4"/>
  <c r="H24" i="4"/>
  <c r="G28" i="4"/>
  <c r="G29" i="4"/>
  <c r="G27" i="4"/>
  <c r="G26" i="4"/>
  <c r="G25" i="4"/>
  <c r="G24" i="4"/>
  <c r="F29" i="4"/>
  <c r="F28" i="4"/>
  <c r="F27" i="4"/>
  <c r="F26" i="4"/>
  <c r="F25" i="4"/>
  <c r="F24" i="4"/>
  <c r="F16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L4" i="4"/>
  <c r="O3" i="4"/>
  <c r="N3" i="4"/>
  <c r="M3" i="4"/>
  <c r="L3" i="4"/>
  <c r="N2" i="4"/>
  <c r="N13" i="4" s="1"/>
  <c r="M2" i="4"/>
  <c r="L2" i="4"/>
  <c r="O21" i="3"/>
  <c r="N21" i="3"/>
  <c r="M21" i="3"/>
  <c r="L21" i="3"/>
  <c r="O20" i="3"/>
  <c r="N20" i="3"/>
  <c r="M20" i="3"/>
  <c r="L20" i="3"/>
  <c r="O19" i="3"/>
  <c r="N19" i="3"/>
  <c r="M19" i="3"/>
  <c r="L19" i="3"/>
  <c r="O21" i="2"/>
  <c r="N21" i="2"/>
  <c r="M21" i="2"/>
  <c r="L21" i="2"/>
  <c r="O20" i="2"/>
  <c r="N20" i="2"/>
  <c r="M20" i="2"/>
  <c r="L20" i="2"/>
  <c r="O19" i="2"/>
  <c r="N19" i="2"/>
  <c r="M19" i="2"/>
  <c r="L19" i="2"/>
  <c r="M19" i="1"/>
  <c r="N19" i="1"/>
  <c r="O19" i="1"/>
  <c r="M20" i="1"/>
  <c r="N20" i="1"/>
  <c r="O20" i="1"/>
  <c r="M21" i="1"/>
  <c r="N21" i="1"/>
  <c r="O21" i="1"/>
  <c r="L20" i="1"/>
  <c r="L21" i="1"/>
  <c r="L19" i="1"/>
  <c r="F16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R4" i="3"/>
  <c r="Q4" i="3"/>
  <c r="O4" i="3"/>
  <c r="N4" i="3"/>
  <c r="M4" i="3"/>
  <c r="L4" i="3"/>
  <c r="R3" i="3"/>
  <c r="Q3" i="3"/>
  <c r="O3" i="3"/>
  <c r="N3" i="3"/>
  <c r="M3" i="3"/>
  <c r="L3" i="3"/>
  <c r="R2" i="3"/>
  <c r="Q2" i="3"/>
  <c r="O2" i="3"/>
  <c r="N2" i="3"/>
  <c r="M2" i="3"/>
  <c r="L2" i="3"/>
  <c r="O14" i="1"/>
  <c r="N14" i="1"/>
  <c r="M14" i="1"/>
  <c r="L14" i="1"/>
  <c r="O6" i="2"/>
  <c r="O5" i="2"/>
  <c r="N6" i="2"/>
  <c r="N5" i="2"/>
  <c r="M6" i="2"/>
  <c r="M5" i="2"/>
  <c r="L6" i="2"/>
  <c r="L5" i="2"/>
  <c r="F16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R4" i="2"/>
  <c r="Q4" i="2"/>
  <c r="O4" i="2"/>
  <c r="N4" i="2"/>
  <c r="M4" i="2"/>
  <c r="L4" i="2"/>
  <c r="R3" i="2"/>
  <c r="Q3" i="2"/>
  <c r="O3" i="2"/>
  <c r="N3" i="2"/>
  <c r="M3" i="2"/>
  <c r="L3" i="2"/>
  <c r="R2" i="2"/>
  <c r="Q2" i="2"/>
  <c r="O2" i="2"/>
  <c r="O14" i="2" s="1"/>
  <c r="N2" i="2"/>
  <c r="N14" i="2" s="1"/>
  <c r="M2" i="2"/>
  <c r="M14" i="2" s="1"/>
  <c r="L2" i="2"/>
  <c r="L14" i="2" s="1"/>
  <c r="O16" i="1"/>
  <c r="N16" i="1"/>
  <c r="M16" i="1"/>
  <c r="L16" i="1"/>
  <c r="O13" i="1"/>
  <c r="N13" i="1"/>
  <c r="M13" i="1"/>
  <c r="L13" i="1"/>
  <c r="F16" i="1"/>
  <c r="O12" i="1"/>
  <c r="N12" i="1"/>
  <c r="M12" i="1"/>
  <c r="L12" i="1"/>
  <c r="L8" i="1"/>
  <c r="M8" i="1"/>
  <c r="N8" i="1"/>
  <c r="O8" i="1"/>
  <c r="L9" i="1"/>
  <c r="M9" i="1"/>
  <c r="N9" i="1"/>
  <c r="O9" i="1"/>
  <c r="L10" i="1"/>
  <c r="M10" i="1"/>
  <c r="N10" i="1"/>
  <c r="O10" i="1"/>
  <c r="O7" i="1"/>
  <c r="N7" i="1"/>
  <c r="M7" i="1"/>
  <c r="L7" i="1"/>
  <c r="O4" i="1"/>
  <c r="O3" i="1"/>
  <c r="O2" i="1"/>
  <c r="M4" i="1"/>
  <c r="M3" i="1"/>
  <c r="M2" i="1"/>
  <c r="N4" i="1"/>
  <c r="N3" i="1"/>
  <c r="N2" i="1"/>
  <c r="L4" i="1"/>
  <c r="L3" i="1"/>
  <c r="L2" i="1"/>
  <c r="R4" i="1"/>
  <c r="R3" i="1"/>
  <c r="R2" i="1"/>
  <c r="Q4" i="1"/>
  <c r="Q3" i="1"/>
  <c r="Q2" i="1"/>
  <c r="O13" i="4" l="1"/>
  <c r="L14" i="4"/>
  <c r="L21" i="4" s="1"/>
  <c r="M14" i="4"/>
  <c r="L12" i="4"/>
  <c r="L13" i="4"/>
  <c r="M21" i="4"/>
  <c r="M12" i="4"/>
  <c r="M19" i="4" s="1"/>
  <c r="L19" i="4"/>
  <c r="M13" i="4"/>
  <c r="M20" i="4" s="1"/>
  <c r="N20" i="4"/>
  <c r="N16" i="4"/>
  <c r="L20" i="4"/>
  <c r="L16" i="4"/>
  <c r="O20" i="4"/>
  <c r="O16" i="4"/>
  <c r="N14" i="4"/>
  <c r="N21" i="4" s="1"/>
  <c r="O14" i="4"/>
  <c r="O21" i="4" s="1"/>
  <c r="N12" i="4"/>
  <c r="N19" i="4" s="1"/>
  <c r="O12" i="4"/>
  <c r="O19" i="4" s="1"/>
  <c r="O14" i="3"/>
  <c r="M14" i="3"/>
  <c r="M13" i="3"/>
  <c r="M16" i="3" s="1"/>
  <c r="L13" i="3"/>
  <c r="L16" i="3" s="1"/>
  <c r="N13" i="3"/>
  <c r="N16" i="3" s="1"/>
  <c r="M12" i="3"/>
  <c r="L14" i="3"/>
  <c r="L12" i="3"/>
  <c r="N12" i="3"/>
  <c r="O12" i="3"/>
  <c r="O13" i="3"/>
  <c r="O16" i="3" s="1"/>
  <c r="N14" i="3"/>
  <c r="N13" i="2"/>
  <c r="N16" i="2" s="1"/>
  <c r="M13" i="2"/>
  <c r="M16" i="2" s="1"/>
  <c r="L12" i="2"/>
  <c r="M12" i="2"/>
  <c r="N12" i="2"/>
  <c r="O12" i="2"/>
  <c r="O13" i="2"/>
  <c r="O16" i="2" s="1"/>
  <c r="L13" i="2"/>
  <c r="L16" i="2" s="1"/>
  <c r="M16" i="4" l="1"/>
</calcChain>
</file>

<file path=xl/sharedStrings.xml><?xml version="1.0" encoding="utf-8"?>
<sst xmlns="http://schemas.openxmlformats.org/spreadsheetml/2006/main" count="164" uniqueCount="68">
  <si>
    <t>Image N°</t>
  </si>
  <si>
    <t>Image name</t>
  </si>
  <si>
    <t>OneShot_X-162_Y-7_Z-30.jpg</t>
  </si>
  <si>
    <t>X</t>
  </si>
  <si>
    <t>Y</t>
  </si>
  <si>
    <t>Z</t>
  </si>
  <si>
    <t>Corner 1 x</t>
  </si>
  <si>
    <t>Corner 1 y</t>
  </si>
  <si>
    <t>Corner 2 x</t>
  </si>
  <si>
    <t>Corner 2 y</t>
  </si>
  <si>
    <t>Corner 3 x</t>
  </si>
  <si>
    <t>Corner 3 y</t>
  </si>
  <si>
    <t>OneShot_X-162_Y-57_Z-30.jpg</t>
  </si>
  <si>
    <t>OneShot_X-162_Y43_Z-30.jpg</t>
  </si>
  <si>
    <t>Red Line Length</t>
  </si>
  <si>
    <t>Red Line Angle</t>
  </si>
  <si>
    <t>Green line Length</t>
  </si>
  <si>
    <t>Green Line Angle</t>
  </si>
  <si>
    <t>OneShot_X-202_Y-7_Z-30.jpg</t>
  </si>
  <si>
    <t>OneShot_X-202_Y-57_Z-30.jpg</t>
  </si>
  <si>
    <t>OneShot_X-202_Y40_Z-30.jpg</t>
  </si>
  <si>
    <t>Not detected</t>
  </si>
  <si>
    <t>OneShot_X-242_Y-57_Z-30.jpg</t>
  </si>
  <si>
    <t>OneShot_X-242_Y-7_Z-30.jpg</t>
  </si>
  <si>
    <t>OneShot_X-242_Y43_Z-30.jpg</t>
  </si>
  <si>
    <t>Ratio mm/pixel</t>
  </si>
  <si>
    <t>mm</t>
  </si>
  <si>
    <t>OneShot_X-162_Y-57_Z-40.jpg</t>
  </si>
  <si>
    <t>OneShot_X-162_Y-7_Z-40.jpg</t>
  </si>
  <si>
    <t>OneShot_X-162_Y43_Z-40.jpg</t>
  </si>
  <si>
    <t>OneShot_X-202_Y-57_Z-40.jpg</t>
  </si>
  <si>
    <t>OneShot_X-202_Y-7_Z-40.jpg</t>
  </si>
  <si>
    <t>OneShot_X-242_Y-57_Z-40.jpg</t>
  </si>
  <si>
    <t>OneShot_X-242_Y-7_Z-40.jpg</t>
  </si>
  <si>
    <t>OneShot_X-242_Y43_Z-40.jpg</t>
  </si>
  <si>
    <t>OneShot_X-202_Y43_Z-40.jpg</t>
  </si>
  <si>
    <t>Moyenne</t>
  </si>
  <si>
    <t>Ecart moyen</t>
  </si>
  <si>
    <t>Ecart type</t>
  </si>
  <si>
    <t>En pixels</t>
  </si>
  <si>
    <t>En mm</t>
  </si>
  <si>
    <t>OneShot_X-162_Y-57_Z-50.jpg</t>
  </si>
  <si>
    <t>OneShot_X-162_Y-7_Z-50.jpg</t>
  </si>
  <si>
    <t>OneShot_X-162_Y43_Z-50.jpg</t>
  </si>
  <si>
    <t>OneShot_X-202_Y-57_Z-50.jpg</t>
  </si>
  <si>
    <t>OneShot_X-202_Y-7_Z-50.jpg</t>
  </si>
  <si>
    <t>OneShot_X-202_Y43_Z-50.jpg</t>
  </si>
  <si>
    <t>OneShot_X-242_Y-57_Z-50.jpg</t>
  </si>
  <si>
    <t>OneShot_X-242_Y-7_Z-50.jpg</t>
  </si>
  <si>
    <t>OneShot_X-242_Y43_Z-50.jpg</t>
  </si>
  <si>
    <t>px/mm</t>
  </si>
  <si>
    <t>x</t>
  </si>
  <si>
    <t>y</t>
  </si>
  <si>
    <t>Corner 1 x (y axis)</t>
  </si>
  <si>
    <t>Corner 1 y (x axis)</t>
  </si>
  <si>
    <t>Length X1</t>
  </si>
  <si>
    <t>Length X2</t>
  </si>
  <si>
    <t>Length X3</t>
  </si>
  <si>
    <t>Angle first last</t>
  </si>
  <si>
    <t>Moyenne deux angles</t>
  </si>
  <si>
    <t>Finalement, si l'on utilise la base 23.31 mm par pixel, on trouve la longueur de la ligne rouge pour Z 30, 40 et 50</t>
  </si>
  <si>
    <t>pixel</t>
  </si>
  <si>
    <t>Z-50</t>
  </si>
  <si>
    <t>mm / pixel</t>
  </si>
  <si>
    <t>mm pour red line</t>
  </si>
  <si>
    <t>Z-40</t>
  </si>
  <si>
    <t>Circle</t>
  </si>
  <si>
    <t>Radius = redline / 2 = 846 / 2 = 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</si>
</sst>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EE01-319C-4469-9006-8DE70FC4E232}">
  <dimension ref="A1:R21"/>
  <sheetViews>
    <sheetView workbookViewId="0">
      <selection activeCell="J19" sqref="J19:O21"/>
    </sheetView>
  </sheetViews>
  <sheetFormatPr defaultColWidth="11" defaultRowHeight="14.25"/>
  <cols>
    <col min="1" max="1" width="13.75" customWidth="1"/>
    <col min="2" max="2" width="26.125" customWidth="1"/>
    <col min="11" max="11" width="13" customWidth="1"/>
    <col min="12" max="12" width="14.25" customWidth="1"/>
  </cols>
  <sheetData>
    <row r="1" spans="1:1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</row>
    <row r="2" spans="1:18">
      <c r="B2" t="s">
        <v>12</v>
      </c>
      <c r="C2">
        <v>-162</v>
      </c>
      <c r="D2">
        <v>-57</v>
      </c>
      <c r="E2">
        <v>-30</v>
      </c>
      <c r="F2">
        <v>763</v>
      </c>
      <c r="G2">
        <v>364</v>
      </c>
      <c r="H2">
        <v>1528</v>
      </c>
      <c r="I2">
        <v>375</v>
      </c>
      <c r="J2">
        <v>1513</v>
      </c>
      <c r="K2">
        <v>1151</v>
      </c>
      <c r="L2">
        <f>SQRT((I2-G2)^2+(H2-F2)^2)</f>
        <v>765.07908087987869</v>
      </c>
      <c r="M2">
        <f>DEGREES(ATAN((I2-G2)/(H2-F2)))</f>
        <v>0.82380410896430456</v>
      </c>
      <c r="N2">
        <f>SQRT((K2-I2)^2+(J2-H2)^2)</f>
        <v>776.14496068711287</v>
      </c>
      <c r="O2">
        <f>DEGREES(ATAN((H2-J2)/(K2-I2)))</f>
        <v>1.1073836021958021</v>
      </c>
      <c r="Q2">
        <f>I2-G2</f>
        <v>11</v>
      </c>
      <c r="R2">
        <f>H2-F2</f>
        <v>765</v>
      </c>
    </row>
    <row r="3" spans="1:18">
      <c r="B3" t="s">
        <v>2</v>
      </c>
      <c r="C3">
        <v>-162</v>
      </c>
      <c r="D3">
        <v>-7</v>
      </c>
      <c r="E3">
        <v>-30</v>
      </c>
      <c r="F3">
        <v>1816</v>
      </c>
      <c r="G3">
        <v>362</v>
      </c>
      <c r="H3">
        <v>2592</v>
      </c>
      <c r="I3">
        <v>380</v>
      </c>
      <c r="J3">
        <v>2581</v>
      </c>
      <c r="K3">
        <v>1158</v>
      </c>
      <c r="L3">
        <f>SQRT((I3-G3)^2+(H3-F3)^2)</f>
        <v>776.20873481300123</v>
      </c>
      <c r="M3">
        <f>DEGREES(ATAN((I3-G3)/(H3-F3)))</f>
        <v>1.3287875301744045</v>
      </c>
      <c r="N3">
        <f>SQRT((K3-I3)^2+(J3-H3)^2)</f>
        <v>778.07775961018194</v>
      </c>
      <c r="O3">
        <f>DEGREES(ATAN((H3-J3)/(K3-I3)))</f>
        <v>0.81004059446001553</v>
      </c>
      <c r="Q3">
        <f>I3-G3</f>
        <v>18</v>
      </c>
      <c r="R3">
        <f>H3-F3</f>
        <v>776</v>
      </c>
    </row>
    <row r="4" spans="1:18">
      <c r="B4" t="s">
        <v>13</v>
      </c>
      <c r="C4">
        <v>-162</v>
      </c>
      <c r="D4">
        <v>43</v>
      </c>
      <c r="E4">
        <v>-30</v>
      </c>
      <c r="F4">
        <v>2882</v>
      </c>
      <c r="G4">
        <v>370</v>
      </c>
      <c r="H4">
        <v>3642</v>
      </c>
      <c r="I4">
        <v>400</v>
      </c>
      <c r="J4">
        <v>3633</v>
      </c>
      <c r="K4">
        <v>1167</v>
      </c>
      <c r="L4">
        <f>SQRT((I4-G4)^2+(H4-F4)^2)</f>
        <v>760.59187479225682</v>
      </c>
      <c r="M4">
        <f>DEGREES(ATAN((I4-G4)/(H4-F4)))</f>
        <v>2.2605019111412719</v>
      </c>
      <c r="N4">
        <f>SQRT((K4-I4)^2+(J4-H4)^2)</f>
        <v>767.05280131161771</v>
      </c>
      <c r="O4">
        <f>DEGREES(ATAN((H4-J4)/(K4-I4)))</f>
        <v>0.67227946655406812</v>
      </c>
      <c r="Q4">
        <f>I4-G4</f>
        <v>30</v>
      </c>
      <c r="R4">
        <f>H4-F4</f>
        <v>760</v>
      </c>
    </row>
    <row r="5" spans="1:18">
      <c r="A5" t="s">
        <v>21</v>
      </c>
      <c r="B5" t="s">
        <v>19</v>
      </c>
      <c r="C5">
        <v>-202</v>
      </c>
      <c r="D5">
        <v>-57</v>
      </c>
      <c r="E5">
        <v>-30</v>
      </c>
    </row>
    <row r="6" spans="1:18">
      <c r="A6" s="1" t="s">
        <v>21</v>
      </c>
      <c r="B6" s="1" t="s">
        <v>18</v>
      </c>
      <c r="C6" s="1">
        <v>-202</v>
      </c>
      <c r="D6" s="1">
        <v>-7</v>
      </c>
      <c r="E6" s="1">
        <v>-30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8">
      <c r="B7" t="s">
        <v>20</v>
      </c>
      <c r="C7">
        <v>-202</v>
      </c>
      <c r="D7">
        <v>43</v>
      </c>
      <c r="E7">
        <v>-30</v>
      </c>
      <c r="F7">
        <v>2880</v>
      </c>
      <c r="G7">
        <v>1221</v>
      </c>
      <c r="H7">
        <v>3640</v>
      </c>
      <c r="I7">
        <v>1240</v>
      </c>
      <c r="J7">
        <v>3620</v>
      </c>
      <c r="K7">
        <v>2016</v>
      </c>
      <c r="L7">
        <f>SQRT((I7-G7)^2+(H7-F7)^2)</f>
        <v>760.2374629022172</v>
      </c>
      <c r="M7">
        <f>DEGREES(ATAN((I7-G7)/(H7-F7)))</f>
        <v>1.4320961841646465</v>
      </c>
      <c r="N7">
        <f>SQRT((K7-I7)^2+(J7-H7)^2)</f>
        <v>776.25768917286734</v>
      </c>
      <c r="O7">
        <f>DEGREES(ATAN((H7-J7)/(K7-I7)))</f>
        <v>1.4763685098130983</v>
      </c>
    </row>
    <row r="8" spans="1:18">
      <c r="B8" t="s">
        <v>22</v>
      </c>
      <c r="C8">
        <v>-242</v>
      </c>
      <c r="D8">
        <v>-57</v>
      </c>
      <c r="E8">
        <v>-30</v>
      </c>
      <c r="F8">
        <v>753</v>
      </c>
      <c r="G8">
        <v>2058</v>
      </c>
      <c r="H8">
        <v>1521</v>
      </c>
      <c r="I8">
        <v>2082</v>
      </c>
      <c r="J8">
        <v>1510</v>
      </c>
      <c r="K8">
        <v>2845</v>
      </c>
      <c r="L8">
        <f t="shared" ref="L8:L10" si="0">SQRT((I8-G8)^2+(H8-F8)^2)</f>
        <v>768.37490849194182</v>
      </c>
      <c r="M8">
        <f t="shared" ref="M8:M10" si="1">DEGREES(ATAN((I8-G8)/(H8-F8)))</f>
        <v>1.7899106082460694</v>
      </c>
      <c r="N8">
        <f t="shared" ref="N8:N10" si="2">SQRT((K8-I8)^2+(J8-H8)^2)</f>
        <v>763.07928814769969</v>
      </c>
      <c r="O8">
        <f t="shared" ref="O8:O10" si="3">DEGREES(ATAN((H8-J8)/(K8-I8)))</f>
        <v>0.82596319187517231</v>
      </c>
    </row>
    <row r="9" spans="1:18">
      <c r="B9" t="s">
        <v>23</v>
      </c>
      <c r="C9">
        <v>-242</v>
      </c>
      <c r="D9">
        <v>-7</v>
      </c>
      <c r="E9">
        <v>-30</v>
      </c>
      <c r="F9">
        <v>1808</v>
      </c>
      <c r="G9">
        <v>2069</v>
      </c>
      <c r="H9">
        <v>2586</v>
      </c>
      <c r="I9">
        <v>2089</v>
      </c>
      <c r="J9">
        <v>2564</v>
      </c>
      <c r="K9">
        <v>2853</v>
      </c>
      <c r="L9">
        <f t="shared" si="0"/>
        <v>778.25702695189329</v>
      </c>
      <c r="M9">
        <f t="shared" si="1"/>
        <v>1.4725748912799825</v>
      </c>
      <c r="N9">
        <f t="shared" si="2"/>
        <v>764.31668829092041</v>
      </c>
      <c r="O9">
        <f t="shared" si="3"/>
        <v>1.6494226686744324</v>
      </c>
    </row>
    <row r="10" spans="1:18">
      <c r="B10" t="s">
        <v>24</v>
      </c>
      <c r="C10">
        <v>-242</v>
      </c>
      <c r="D10">
        <v>43</v>
      </c>
      <c r="E10">
        <v>-30</v>
      </c>
      <c r="F10">
        <v>2874</v>
      </c>
      <c r="G10">
        <v>2077</v>
      </c>
      <c r="H10">
        <v>3629</v>
      </c>
      <c r="I10">
        <v>2095</v>
      </c>
      <c r="J10">
        <v>3600</v>
      </c>
      <c r="K10">
        <v>2844</v>
      </c>
      <c r="L10">
        <f t="shared" si="0"/>
        <v>755.21453905496287</v>
      </c>
      <c r="M10">
        <f t="shared" si="1"/>
        <v>1.3657333743756783</v>
      </c>
      <c r="N10">
        <f t="shared" si="2"/>
        <v>749.561204972616</v>
      </c>
      <c r="O10">
        <f t="shared" si="3"/>
        <v>2.2172871271192913</v>
      </c>
    </row>
    <row r="12" spans="1:18">
      <c r="J12" t="s">
        <v>39</v>
      </c>
      <c r="K12" t="s">
        <v>36</v>
      </c>
      <c r="L12">
        <f>AVERAGE(L2:L10)</f>
        <v>766.28051826945034</v>
      </c>
      <c r="M12">
        <f>AVERAGE(M2:M10)</f>
        <v>1.4962012297637652</v>
      </c>
      <c r="N12">
        <f>AVERAGE(N2:N10)</f>
        <v>767.78434174185929</v>
      </c>
      <c r="O12">
        <f>AVERAGE(O2:O10)</f>
        <v>1.2512493086702687</v>
      </c>
    </row>
    <row r="13" spans="1:18">
      <c r="K13" t="s">
        <v>37</v>
      </c>
      <c r="L13">
        <f>AVEDEV(L2:L10)</f>
        <v>6.8568901281387298</v>
      </c>
      <c r="M13">
        <f>AVEDEV(M2:M10)</f>
        <v>0.30228858853137436</v>
      </c>
      <c r="N13">
        <f>AVEDEV(N2:N10)</f>
        <v>7.7506812127382352</v>
      </c>
      <c r="O13">
        <f>AVEDEV(O2:O10)</f>
        <v>0.45409439417029035</v>
      </c>
    </row>
    <row r="14" spans="1:18">
      <c r="K14" t="s">
        <v>38</v>
      </c>
      <c r="L14">
        <f>_xlfn.STDEV.S(L2:L10)</f>
        <v>8.5554197726638765</v>
      </c>
      <c r="M14">
        <f>_xlfn.STDEV.S(M2:M10)</f>
        <v>0.44201347782301209</v>
      </c>
      <c r="N14">
        <f>_xlfn.STDEV.S(N2:N10)</f>
        <v>10.119552296894986</v>
      </c>
      <c r="O14">
        <f>_xlfn.STDEV.S(O2:O10)</f>
        <v>0.55885099031064167</v>
      </c>
    </row>
    <row r="15" spans="1:18">
      <c r="F15" t="s">
        <v>25</v>
      </c>
    </row>
    <row r="16" spans="1:18">
      <c r="F16">
        <f>(D10-D8)/(F10-F8)</f>
        <v>4.7147571900047147E-2</v>
      </c>
      <c r="L16">
        <f>L13*$F16</f>
        <v>0.32328572032714425</v>
      </c>
      <c r="M16">
        <f>M13*$F16</f>
        <v>1.4252172962346739E-2</v>
      </c>
      <c r="N16">
        <f>N13*$F16</f>
        <v>0.36542579975192058</v>
      </c>
      <c r="O16">
        <f>O13*$F16</f>
        <v>2.1409448098552115E-2</v>
      </c>
    </row>
    <row r="17" spans="10:15">
      <c r="L17" t="s">
        <v>26</v>
      </c>
      <c r="N17" t="s">
        <v>26</v>
      </c>
    </row>
    <row r="19" spans="10:15">
      <c r="J19" t="s">
        <v>40</v>
      </c>
      <c r="K19" t="s">
        <v>36</v>
      </c>
      <c r="L19">
        <f>L12*$F$16</f>
        <v>36.128265830714298</v>
      </c>
      <c r="M19">
        <f t="shared" ref="M19:O19" si="4">M12*$F$16</f>
        <v>7.0542255057226083E-2</v>
      </c>
      <c r="N19">
        <f t="shared" si="4"/>
        <v>36.19916745600468</v>
      </c>
      <c r="O19">
        <f t="shared" si="4"/>
        <v>5.8993366745415783E-2</v>
      </c>
    </row>
    <row r="20" spans="10:15">
      <c r="K20" t="s">
        <v>37</v>
      </c>
      <c r="L20">
        <f t="shared" ref="L20:O21" si="5">L13*$F$16</f>
        <v>0.32328572032714425</v>
      </c>
      <c r="M20">
        <f t="shared" si="5"/>
        <v>1.4252172962346739E-2</v>
      </c>
      <c r="N20">
        <f t="shared" si="5"/>
        <v>0.36542579975192058</v>
      </c>
      <c r="O20">
        <f t="shared" si="5"/>
        <v>2.1409448098552115E-2</v>
      </c>
    </row>
    <row r="21" spans="10:15">
      <c r="K21" t="s">
        <v>38</v>
      </c>
      <c r="L21">
        <f t="shared" si="5"/>
        <v>0.40336726886675511</v>
      </c>
      <c r="M21">
        <f t="shared" si="5"/>
        <v>2.0839862226450359E-2</v>
      </c>
      <c r="N21">
        <f t="shared" si="5"/>
        <v>0.47711231951414357</v>
      </c>
      <c r="O21">
        <f t="shared" si="5"/>
        <v>2.6348467247083531E-2</v>
      </c>
    </row>
  </sheetData>
  <pageMargins left="0.7" right="0.7" top="0.75" bottom="0.75" header="0.3" footer="0.3"/>
  <ignoredErrors>
    <ignoredError sqref="M7:M10 M2:M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DB7A-279A-4F0A-BE68-CECDFF18FCEE}">
  <dimension ref="A1:R21"/>
  <sheetViews>
    <sheetView workbookViewId="0">
      <selection activeCell="J19" sqref="J19:O21"/>
    </sheetView>
  </sheetViews>
  <sheetFormatPr defaultColWidth="11" defaultRowHeight="14.25"/>
  <cols>
    <col min="1" max="1" width="13.75" customWidth="1"/>
    <col min="2" max="2" width="26.125" customWidth="1"/>
    <col min="12" max="12" width="14.25" customWidth="1"/>
  </cols>
  <sheetData>
    <row r="1" spans="1:1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</row>
    <row r="2" spans="1:18">
      <c r="B2" t="s">
        <v>27</v>
      </c>
      <c r="C2">
        <v>-162</v>
      </c>
      <c r="D2">
        <v>-57</v>
      </c>
      <c r="E2">
        <v>-40</v>
      </c>
      <c r="F2">
        <v>700</v>
      </c>
      <c r="G2">
        <v>313</v>
      </c>
      <c r="H2">
        <v>1506</v>
      </c>
      <c r="I2">
        <v>325</v>
      </c>
      <c r="J2">
        <v>1486</v>
      </c>
      <c r="K2">
        <v>1139</v>
      </c>
      <c r="L2">
        <f t="shared" ref="L2:L7" si="0">SQRT((I2-G2)^2+(H2-F2)^2)</f>
        <v>806.08932507508121</v>
      </c>
      <c r="M2">
        <f t="shared" ref="M2:M7" si="1">DEGREES(ATAN((I2-G2)/(H2-F2)))</f>
        <v>0.85297588038243777</v>
      </c>
      <c r="N2">
        <f t="shared" ref="N2:N7" si="2">SQRT((K2-I2)^2+(J2-H2)^2)</f>
        <v>814.24566317543258</v>
      </c>
      <c r="O2">
        <f t="shared" ref="O2:O7" si="3">DEGREES(ATAN((H2-J2)/(K2-I2)))</f>
        <v>1.4074755315001017</v>
      </c>
      <c r="Q2">
        <f>I2-G2</f>
        <v>12</v>
      </c>
      <c r="R2">
        <f>H2-F2</f>
        <v>806</v>
      </c>
    </row>
    <row r="3" spans="1:18">
      <c r="A3" s="2"/>
      <c r="B3" s="2" t="s">
        <v>28</v>
      </c>
      <c r="C3" s="2">
        <v>-162</v>
      </c>
      <c r="D3" s="2">
        <v>-7</v>
      </c>
      <c r="E3" s="2">
        <v>-40</v>
      </c>
      <c r="F3" s="2">
        <v>1808</v>
      </c>
      <c r="G3" s="2">
        <v>313</v>
      </c>
      <c r="H3" s="2">
        <v>2615</v>
      </c>
      <c r="I3" s="2">
        <v>331</v>
      </c>
      <c r="J3" s="2">
        <v>2598</v>
      </c>
      <c r="K3" s="2">
        <v>1145</v>
      </c>
      <c r="L3" s="2">
        <f t="shared" si="0"/>
        <v>807.20071853288141</v>
      </c>
      <c r="M3" s="2">
        <f t="shared" si="1"/>
        <v>1.2777609076285774</v>
      </c>
      <c r="N3" s="2">
        <f t="shared" si="2"/>
        <v>814.17749907498671</v>
      </c>
      <c r="O3" s="2">
        <f t="shared" si="3"/>
        <v>1.196420979123537</v>
      </c>
      <c r="Q3">
        <f>I3-G3</f>
        <v>18</v>
      </c>
      <c r="R3">
        <f>H3-F3</f>
        <v>807</v>
      </c>
    </row>
    <row r="4" spans="1:18">
      <c r="B4" t="s">
        <v>29</v>
      </c>
      <c r="C4">
        <v>-162</v>
      </c>
      <c r="D4">
        <v>43</v>
      </c>
      <c r="E4">
        <v>-40</v>
      </c>
      <c r="F4">
        <v>2927</v>
      </c>
      <c r="G4">
        <v>319</v>
      </c>
      <c r="H4">
        <v>3717</v>
      </c>
      <c r="I4">
        <v>354</v>
      </c>
      <c r="J4">
        <v>3705</v>
      </c>
      <c r="K4">
        <v>1150</v>
      </c>
      <c r="L4">
        <f t="shared" si="0"/>
        <v>790.77493637570478</v>
      </c>
      <c r="M4">
        <f t="shared" si="1"/>
        <v>2.5367617381599841</v>
      </c>
      <c r="N4">
        <f t="shared" si="2"/>
        <v>796.09044712268724</v>
      </c>
      <c r="O4">
        <f t="shared" si="3"/>
        <v>0.86369004459958698</v>
      </c>
      <c r="Q4">
        <f>I4-G4</f>
        <v>35</v>
      </c>
      <c r="R4">
        <f>H4-F4</f>
        <v>790</v>
      </c>
    </row>
    <row r="5" spans="1:18">
      <c r="A5" s="2"/>
      <c r="B5" s="2" t="s">
        <v>30</v>
      </c>
      <c r="C5" s="2">
        <v>-202</v>
      </c>
      <c r="D5" s="2">
        <v>-57</v>
      </c>
      <c r="E5" s="2">
        <v>-40</v>
      </c>
      <c r="F5" s="2">
        <v>689</v>
      </c>
      <c r="G5" s="2">
        <v>1200</v>
      </c>
      <c r="H5" s="2">
        <v>1499</v>
      </c>
      <c r="I5" s="2">
        <v>1217</v>
      </c>
      <c r="J5" s="2">
        <v>1486</v>
      </c>
      <c r="K5" s="2">
        <v>2033</v>
      </c>
      <c r="L5" s="2">
        <f t="shared" si="0"/>
        <v>810.1783754211167</v>
      </c>
      <c r="M5" s="2">
        <f t="shared" si="1"/>
        <v>1.2023275008093453</v>
      </c>
      <c r="N5" s="2">
        <f t="shared" si="2"/>
        <v>816.10354735168255</v>
      </c>
      <c r="O5" s="2">
        <f t="shared" si="3"/>
        <v>0.91272319512676292</v>
      </c>
    </row>
    <row r="6" spans="1:18">
      <c r="A6" s="1"/>
      <c r="B6" s="1" t="s">
        <v>31</v>
      </c>
      <c r="C6" s="1">
        <v>-202</v>
      </c>
      <c r="D6" s="1">
        <v>-7</v>
      </c>
      <c r="E6" s="1">
        <v>-40</v>
      </c>
      <c r="F6" s="1">
        <v>1801</v>
      </c>
      <c r="G6" s="1">
        <v>1201</v>
      </c>
      <c r="H6" s="1">
        <v>2619</v>
      </c>
      <c r="I6" s="1">
        <v>1222</v>
      </c>
      <c r="J6" s="1">
        <v>2600</v>
      </c>
      <c r="K6" s="1">
        <v>2042</v>
      </c>
      <c r="L6" s="1">
        <f t="shared" si="0"/>
        <v>818.26951550207468</v>
      </c>
      <c r="M6" s="1">
        <f t="shared" si="1"/>
        <v>1.4705955262610977</v>
      </c>
      <c r="N6" s="1">
        <f t="shared" si="2"/>
        <v>820.22009241422518</v>
      </c>
      <c r="O6" s="1">
        <f t="shared" si="3"/>
        <v>1.3273476256850267</v>
      </c>
    </row>
    <row r="7" spans="1:18">
      <c r="A7" s="2"/>
      <c r="B7" s="2" t="s">
        <v>35</v>
      </c>
      <c r="C7" s="2">
        <v>-202</v>
      </c>
      <c r="D7" s="2">
        <v>43</v>
      </c>
      <c r="E7" s="2">
        <v>-40</v>
      </c>
      <c r="F7" s="2">
        <v>2921</v>
      </c>
      <c r="G7" s="2">
        <v>1209</v>
      </c>
      <c r="H7" s="2">
        <v>3717</v>
      </c>
      <c r="I7" s="2">
        <v>1230</v>
      </c>
      <c r="J7" s="2">
        <v>3700</v>
      </c>
      <c r="K7" s="2">
        <v>2041</v>
      </c>
      <c r="L7" s="2">
        <f t="shared" si="0"/>
        <v>796.27696186691219</v>
      </c>
      <c r="M7" s="2">
        <f t="shared" si="1"/>
        <v>1.5112215316402557</v>
      </c>
      <c r="N7" s="2">
        <f t="shared" si="2"/>
        <v>811.17815552441994</v>
      </c>
      <c r="O7" s="2">
        <f t="shared" si="3"/>
        <v>1.2008454105269422</v>
      </c>
    </row>
    <row r="8" spans="1:18">
      <c r="B8" t="s">
        <v>32</v>
      </c>
      <c r="C8">
        <v>-242</v>
      </c>
      <c r="D8">
        <v>-57</v>
      </c>
      <c r="E8">
        <v>-40</v>
      </c>
      <c r="F8">
        <v>690</v>
      </c>
      <c r="G8">
        <v>2088</v>
      </c>
      <c r="H8">
        <v>1496</v>
      </c>
      <c r="I8">
        <v>2112</v>
      </c>
      <c r="J8">
        <v>1485</v>
      </c>
      <c r="K8">
        <v>2914</v>
      </c>
      <c r="L8">
        <f t="shared" ref="L8:L10" si="4">SQRT((I8-G8)^2+(H8-F8)^2)</f>
        <v>806.35724092984992</v>
      </c>
      <c r="M8">
        <f t="shared" ref="M8:M10" si="5">DEGREES(ATAN((I8-G8)/(H8-F8)))</f>
        <v>1.7055738384498764</v>
      </c>
      <c r="N8">
        <f t="shared" ref="N8:N10" si="6">SQRT((K8-I8)^2+(J8-H8)^2)</f>
        <v>802.07543286152327</v>
      </c>
      <c r="O8">
        <f t="shared" ref="O8:O10" si="7">DEGREES(ATAN((H8-J8)/(K8-I8)))</f>
        <v>0.78580306465330374</v>
      </c>
    </row>
    <row r="9" spans="1:18">
      <c r="A9" s="2"/>
      <c r="B9" s="2" t="s">
        <v>33</v>
      </c>
      <c r="C9" s="2">
        <v>-242</v>
      </c>
      <c r="D9" s="2">
        <v>-7</v>
      </c>
      <c r="E9" s="2">
        <v>-40</v>
      </c>
      <c r="F9" s="2">
        <v>1795</v>
      </c>
      <c r="G9" s="2">
        <v>2100</v>
      </c>
      <c r="H9" s="2">
        <v>2614</v>
      </c>
      <c r="I9" s="2">
        <v>2120</v>
      </c>
      <c r="J9" s="2">
        <v>2591</v>
      </c>
      <c r="K9" s="2">
        <v>2920</v>
      </c>
      <c r="L9" s="2">
        <f t="shared" si="4"/>
        <v>819.24416384860501</v>
      </c>
      <c r="M9" s="2">
        <f t="shared" si="5"/>
        <v>1.3988863095814494</v>
      </c>
      <c r="N9" s="2">
        <f t="shared" si="6"/>
        <v>800.33055670766441</v>
      </c>
      <c r="O9" s="2">
        <f t="shared" si="7"/>
        <v>1.6468000332494968</v>
      </c>
    </row>
    <row r="10" spans="1:18">
      <c r="B10" t="s">
        <v>34</v>
      </c>
      <c r="C10">
        <v>-242</v>
      </c>
      <c r="D10">
        <v>43</v>
      </c>
      <c r="E10">
        <v>-40</v>
      </c>
      <c r="F10">
        <v>2914</v>
      </c>
      <c r="G10">
        <v>2103</v>
      </c>
      <c r="H10">
        <v>3709</v>
      </c>
      <c r="I10">
        <v>2118</v>
      </c>
      <c r="J10">
        <v>3680</v>
      </c>
      <c r="K10">
        <v>2913</v>
      </c>
      <c r="L10">
        <f t="shared" si="4"/>
        <v>795.14149684191432</v>
      </c>
      <c r="M10">
        <f t="shared" si="5"/>
        <v>1.0809241866606887</v>
      </c>
      <c r="N10">
        <f t="shared" si="6"/>
        <v>795.52875497998184</v>
      </c>
      <c r="O10">
        <f t="shared" si="7"/>
        <v>2.0891084333823029</v>
      </c>
    </row>
    <row r="12" spans="1:18">
      <c r="J12" t="s">
        <v>39</v>
      </c>
      <c r="K12" t="s">
        <v>36</v>
      </c>
      <c r="L12">
        <f>AVERAGE(L2:L10)</f>
        <v>805.50363715490448</v>
      </c>
      <c r="M12">
        <f>AVERAGE(M2:M10)</f>
        <v>1.4485586021748569</v>
      </c>
      <c r="N12">
        <f>AVERAGE(N2:N10)</f>
        <v>807.77223880140036</v>
      </c>
      <c r="O12">
        <f>AVERAGE(O2:O10)</f>
        <v>1.2700238130941177</v>
      </c>
    </row>
    <row r="13" spans="1:18">
      <c r="K13" t="s">
        <v>37</v>
      </c>
      <c r="L13">
        <f>AVEDEV(L2:L10)</f>
        <v>7.6261147511515777</v>
      </c>
      <c r="M13">
        <f>AVEDEV(M2:M10)</f>
        <v>0.31775960573595241</v>
      </c>
      <c r="N13">
        <f>AVEDEV(N2:N10)</f>
        <v>8.2363918963877598</v>
      </c>
      <c r="O13">
        <f>AVEDEV(O2:O10)</f>
        <v>0.3090303047645459</v>
      </c>
    </row>
    <row r="14" spans="1:18">
      <c r="K14" t="s">
        <v>38</v>
      </c>
      <c r="L14">
        <f>_xlfn.STDEV.S(L2:L10)</f>
        <v>9.9185102962837508</v>
      </c>
      <c r="M14">
        <f>_xlfn.STDEV.S(M2:M10)</f>
        <v>0.47916567489221956</v>
      </c>
      <c r="N14">
        <f>_xlfn.STDEV.S(N2:N10)</f>
        <v>9.3078729844699257</v>
      </c>
      <c r="O14">
        <f>_xlfn.STDEV.S(O2:O10)</f>
        <v>0.41419840572477795</v>
      </c>
    </row>
    <row r="15" spans="1:18">
      <c r="F15" t="s">
        <v>25</v>
      </c>
    </row>
    <row r="16" spans="1:18">
      <c r="F16">
        <f>(D10-D8)/(F10-F8)</f>
        <v>4.4964028776978415E-2</v>
      </c>
      <c r="L16">
        <f>L13*$F16</f>
        <v>0.34290084312731911</v>
      </c>
      <c r="M16">
        <f>M13*$F16</f>
        <v>1.428775205647268E-2</v>
      </c>
      <c r="N16">
        <f>N13*$F16</f>
        <v>0.37034136224765107</v>
      </c>
      <c r="O16">
        <f>O13*$F16</f>
        <v>1.3895247516391452E-2</v>
      </c>
    </row>
    <row r="17" spans="10:15">
      <c r="L17" t="s">
        <v>26</v>
      </c>
      <c r="N17" t="s">
        <v>26</v>
      </c>
    </row>
    <row r="19" spans="10:15">
      <c r="J19" t="s">
        <v>40</v>
      </c>
      <c r="K19" t="s">
        <v>36</v>
      </c>
      <c r="L19">
        <f>L12*$F$16</f>
        <v>36.218688720993903</v>
      </c>
      <c r="M19">
        <f t="shared" ref="M19:O19" si="8">M12*$F$16</f>
        <v>6.5133030673329886E-2</v>
      </c>
      <c r="N19">
        <f t="shared" si="8"/>
        <v>36.320694190710448</v>
      </c>
      <c r="O19">
        <f t="shared" si="8"/>
        <v>5.7105387279411765E-2</v>
      </c>
    </row>
    <row r="20" spans="10:15">
      <c r="K20" t="s">
        <v>37</v>
      </c>
      <c r="L20">
        <f t="shared" ref="L20:O21" si="9">L13*$F$16</f>
        <v>0.34290084312731911</v>
      </c>
      <c r="M20">
        <f t="shared" si="9"/>
        <v>1.428775205647268E-2</v>
      </c>
      <c r="N20">
        <f t="shared" si="9"/>
        <v>0.37034136224765107</v>
      </c>
      <c r="O20">
        <f t="shared" si="9"/>
        <v>1.3895247516391452E-2</v>
      </c>
    </row>
    <row r="21" spans="10:15">
      <c r="K21" t="s">
        <v>38</v>
      </c>
      <c r="L21">
        <f t="shared" si="9"/>
        <v>0.44597618238685927</v>
      </c>
      <c r="M21">
        <f t="shared" si="9"/>
        <v>2.1545219194794043E-2</v>
      </c>
      <c r="N21">
        <f t="shared" si="9"/>
        <v>0.41851946872616569</v>
      </c>
      <c r="O21">
        <f t="shared" si="9"/>
        <v>1.8624029034387497E-2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08A3-4DB2-4CA7-A422-4F2CF27BB350}">
  <dimension ref="A1:R21"/>
  <sheetViews>
    <sheetView workbookViewId="0">
      <selection activeCell="L28" sqref="L28"/>
    </sheetView>
  </sheetViews>
  <sheetFormatPr defaultColWidth="11" defaultRowHeight="14.25"/>
  <cols>
    <col min="1" max="1" width="13.75" customWidth="1"/>
    <col min="2" max="2" width="26.125" customWidth="1"/>
    <col min="12" max="12" width="14.25" customWidth="1"/>
  </cols>
  <sheetData>
    <row r="1" spans="1:1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</row>
    <row r="2" spans="1:18">
      <c r="B2" t="s">
        <v>41</v>
      </c>
      <c r="C2">
        <v>-162</v>
      </c>
      <c r="D2">
        <v>-57</v>
      </c>
      <c r="E2">
        <v>-50</v>
      </c>
      <c r="F2">
        <v>632</v>
      </c>
      <c r="G2">
        <v>256</v>
      </c>
      <c r="H2">
        <v>1477</v>
      </c>
      <c r="I2">
        <v>264</v>
      </c>
      <c r="J2">
        <v>1458</v>
      </c>
      <c r="K2">
        <v>1124</v>
      </c>
      <c r="L2">
        <f t="shared" ref="L2:L7" si="0">SQRT((I2-G2)^2+(H2-F2)^2)</f>
        <v>845.03786897392945</v>
      </c>
      <c r="M2">
        <f t="shared" ref="M2:M7" si="1">DEGREES(ATAN((I2-G2)/(H2-F2)))</f>
        <v>0.54242904375254897</v>
      </c>
      <c r="N2">
        <f t="shared" ref="N2:N7" si="2">SQRT((K2-I2)^2+(J2-H2)^2)</f>
        <v>860.20985811602975</v>
      </c>
      <c r="O2">
        <f t="shared" ref="O2:O7" si="3">DEGREES(ATAN((H2-J2)/(K2-I2)))</f>
        <v>1.2656310971513425</v>
      </c>
      <c r="Q2">
        <f>I2-G2</f>
        <v>8</v>
      </c>
      <c r="R2">
        <f>H2-F2</f>
        <v>845</v>
      </c>
    </row>
    <row r="3" spans="1:18">
      <c r="A3" s="2"/>
      <c r="B3" s="2" t="s">
        <v>42</v>
      </c>
      <c r="C3" s="2">
        <v>-162</v>
      </c>
      <c r="D3" s="2">
        <v>-7</v>
      </c>
      <c r="E3" s="2">
        <v>-50</v>
      </c>
      <c r="F3" s="2">
        <v>1793</v>
      </c>
      <c r="G3" s="2">
        <v>250</v>
      </c>
      <c r="H3" s="2">
        <v>2652</v>
      </c>
      <c r="I3" s="2">
        <v>273</v>
      </c>
      <c r="J3" s="2">
        <v>2637</v>
      </c>
      <c r="K3" s="2">
        <v>1131</v>
      </c>
      <c r="L3" s="2">
        <f t="shared" si="0"/>
        <v>859.30786101373474</v>
      </c>
      <c r="M3" s="2">
        <f t="shared" si="1"/>
        <v>1.5337463858157179</v>
      </c>
      <c r="N3" s="2">
        <f t="shared" si="2"/>
        <v>858.1311088639078</v>
      </c>
      <c r="O3" s="2">
        <f t="shared" si="3"/>
        <v>1.001572435655772</v>
      </c>
      <c r="Q3">
        <f>I3-G3</f>
        <v>23</v>
      </c>
      <c r="R3">
        <f>H3-F3</f>
        <v>859</v>
      </c>
    </row>
    <row r="4" spans="1:18">
      <c r="B4" t="s">
        <v>43</v>
      </c>
      <c r="C4">
        <v>-162</v>
      </c>
      <c r="D4">
        <v>43</v>
      </c>
      <c r="E4">
        <v>-40</v>
      </c>
      <c r="F4">
        <v>2965</v>
      </c>
      <c r="G4">
        <v>261</v>
      </c>
      <c r="H4">
        <v>3804</v>
      </c>
      <c r="I4">
        <v>295</v>
      </c>
      <c r="J4">
        <v>3794</v>
      </c>
      <c r="K4">
        <v>1141</v>
      </c>
      <c r="L4">
        <f t="shared" si="0"/>
        <v>839.68863276812317</v>
      </c>
      <c r="M4">
        <f t="shared" si="1"/>
        <v>2.3206092580724413</v>
      </c>
      <c r="N4">
        <f t="shared" si="2"/>
        <v>846.05909959056646</v>
      </c>
      <c r="O4">
        <f t="shared" si="3"/>
        <v>0.67722353755369358</v>
      </c>
      <c r="Q4">
        <f>I4-G4</f>
        <v>34</v>
      </c>
      <c r="R4">
        <f>H4-F4</f>
        <v>839</v>
      </c>
    </row>
    <row r="5" spans="1:18">
      <c r="A5" s="2"/>
      <c r="B5" s="2" t="s">
        <v>44</v>
      </c>
      <c r="C5" s="2">
        <v>-202</v>
      </c>
      <c r="D5" s="2">
        <v>-57</v>
      </c>
      <c r="E5" s="2">
        <v>-40</v>
      </c>
      <c r="F5" s="2">
        <v>623</v>
      </c>
      <c r="G5" s="2">
        <v>1185</v>
      </c>
      <c r="H5" s="2">
        <v>1472</v>
      </c>
      <c r="I5" s="2">
        <v>1204</v>
      </c>
      <c r="J5" s="2">
        <v>1456</v>
      </c>
      <c r="K5" s="2">
        <v>2066</v>
      </c>
      <c r="L5" s="2">
        <f t="shared" si="0"/>
        <v>849.21257644950128</v>
      </c>
      <c r="M5" s="2">
        <f t="shared" si="1"/>
        <v>1.2820237065954048</v>
      </c>
      <c r="N5" s="2">
        <f t="shared" si="2"/>
        <v>862.1484790916237</v>
      </c>
      <c r="O5" s="2">
        <f t="shared" si="3"/>
        <v>1.0633726377549007</v>
      </c>
    </row>
    <row r="6" spans="1:18">
      <c r="A6" s="1"/>
      <c r="B6" s="1" t="s">
        <v>45</v>
      </c>
      <c r="C6" s="1">
        <v>-202</v>
      </c>
      <c r="D6" s="1">
        <v>-7</v>
      </c>
      <c r="E6" s="1">
        <v>-40</v>
      </c>
      <c r="F6" s="1">
        <v>1789</v>
      </c>
      <c r="G6" s="1">
        <v>1188</v>
      </c>
      <c r="H6" s="1">
        <v>2649</v>
      </c>
      <c r="I6" s="1">
        <v>1209</v>
      </c>
      <c r="J6" s="1">
        <v>2632</v>
      </c>
      <c r="K6" s="1">
        <v>2073</v>
      </c>
      <c r="L6" s="1">
        <f t="shared" si="0"/>
        <v>860.25635714012594</v>
      </c>
      <c r="M6" s="1">
        <f t="shared" si="1"/>
        <v>1.3988050112961989</v>
      </c>
      <c r="N6" s="1">
        <f t="shared" si="2"/>
        <v>864.16722918657354</v>
      </c>
      <c r="O6" s="1">
        <f t="shared" si="3"/>
        <v>1.1272020661380835</v>
      </c>
    </row>
    <row r="7" spans="1:18">
      <c r="A7" s="2"/>
      <c r="B7" s="2" t="s">
        <v>46</v>
      </c>
      <c r="C7" s="2">
        <v>-202</v>
      </c>
      <c r="D7" s="2">
        <v>43</v>
      </c>
      <c r="E7" s="2">
        <v>-40</v>
      </c>
      <c r="F7" s="2">
        <v>2974</v>
      </c>
      <c r="G7" s="2">
        <v>1198</v>
      </c>
      <c r="H7" s="2">
        <v>3799</v>
      </c>
      <c r="I7" s="2">
        <v>1222</v>
      </c>
      <c r="J7" s="2">
        <v>3776</v>
      </c>
      <c r="K7" s="2">
        <v>2070</v>
      </c>
      <c r="L7" s="2">
        <f t="shared" si="0"/>
        <v>825.34901708307621</v>
      </c>
      <c r="M7" s="2">
        <f t="shared" si="1"/>
        <v>1.6663163618532455</v>
      </c>
      <c r="N7" s="2">
        <f t="shared" si="2"/>
        <v>848.31185303519135</v>
      </c>
      <c r="O7" s="2">
        <f t="shared" si="3"/>
        <v>1.5536319923636237</v>
      </c>
    </row>
    <row r="8" spans="1:18">
      <c r="B8" t="s">
        <v>47</v>
      </c>
      <c r="C8">
        <v>-242</v>
      </c>
      <c r="D8">
        <v>-57</v>
      </c>
      <c r="E8">
        <v>-40</v>
      </c>
      <c r="F8">
        <v>624</v>
      </c>
      <c r="G8">
        <v>2118</v>
      </c>
      <c r="H8">
        <v>1469</v>
      </c>
      <c r="I8">
        <v>2145</v>
      </c>
      <c r="J8">
        <v>1458</v>
      </c>
      <c r="K8">
        <v>2989</v>
      </c>
      <c r="L8">
        <f t="shared" ref="L8:L10" si="4">SQRT((I8-G8)^2+(H8-F8)^2)</f>
        <v>845.43125090098249</v>
      </c>
      <c r="M8">
        <f t="shared" ref="M8:M10" si="5">DEGREES(ATAN((I8-G8)/(H8-F8)))</f>
        <v>1.8301300500734854</v>
      </c>
      <c r="N8">
        <f t="shared" ref="N8:N10" si="6">SQRT((K8-I8)^2+(J8-H8)^2)</f>
        <v>844.071679420652</v>
      </c>
      <c r="O8">
        <f t="shared" ref="O8:O10" si="7">DEGREES(ATAN((H8-J8)/(K8-I8)))</f>
        <v>0.74670366416376277</v>
      </c>
    </row>
    <row r="9" spans="1:18">
      <c r="A9" s="2"/>
      <c r="B9" s="2" t="s">
        <v>48</v>
      </c>
      <c r="C9" s="2">
        <v>-242</v>
      </c>
      <c r="D9" s="2">
        <v>-7</v>
      </c>
      <c r="E9" s="2">
        <v>-40</v>
      </c>
      <c r="F9" s="2">
        <v>1784</v>
      </c>
      <c r="G9" s="2">
        <v>2132</v>
      </c>
      <c r="H9" s="2">
        <v>2644</v>
      </c>
      <c r="I9" s="2">
        <v>2154</v>
      </c>
      <c r="J9" s="2">
        <v>2617</v>
      </c>
      <c r="K9" s="2">
        <v>2996</v>
      </c>
      <c r="L9" s="2">
        <f t="shared" si="4"/>
        <v>860.28134932706757</v>
      </c>
      <c r="M9" s="2">
        <f t="shared" si="5"/>
        <v>1.4653863898851833</v>
      </c>
      <c r="N9" s="2">
        <f t="shared" si="6"/>
        <v>842.43278663641763</v>
      </c>
      <c r="O9" s="2">
        <f t="shared" si="7"/>
        <v>1.8366462454018195</v>
      </c>
    </row>
    <row r="10" spans="1:18">
      <c r="B10" t="s">
        <v>49</v>
      </c>
      <c r="C10">
        <v>-242</v>
      </c>
      <c r="D10">
        <v>43</v>
      </c>
      <c r="E10">
        <v>-40</v>
      </c>
      <c r="F10">
        <v>2958</v>
      </c>
      <c r="G10">
        <v>2136</v>
      </c>
      <c r="H10">
        <v>3793</v>
      </c>
      <c r="I10">
        <v>2151</v>
      </c>
      <c r="J10">
        <v>3761</v>
      </c>
      <c r="K10">
        <v>2987</v>
      </c>
      <c r="L10">
        <f t="shared" si="4"/>
        <v>835.13471967102407</v>
      </c>
      <c r="M10">
        <f t="shared" si="5"/>
        <v>1.0291548043059813</v>
      </c>
      <c r="N10">
        <f t="shared" si="6"/>
        <v>836.61221602364856</v>
      </c>
      <c r="O10">
        <f t="shared" si="7"/>
        <v>2.1920697202244241</v>
      </c>
    </row>
    <row r="12" spans="1:18">
      <c r="J12" t="s">
        <v>39</v>
      </c>
      <c r="K12" t="s">
        <v>36</v>
      </c>
      <c r="L12">
        <f>AVERAGE(L2:L10)</f>
        <v>846.63329259195166</v>
      </c>
      <c r="M12">
        <f>AVERAGE(M2:M10)</f>
        <v>1.4520667790722455</v>
      </c>
      <c r="N12">
        <f>AVERAGE(N2:N10)</f>
        <v>851.34936777384564</v>
      </c>
      <c r="O12">
        <f>AVERAGE(O2:O10)</f>
        <v>1.2737837107119359</v>
      </c>
    </row>
    <row r="13" spans="1:18">
      <c r="K13" t="s">
        <v>37</v>
      </c>
      <c r="L13">
        <f>AVEDEV(L2:L10)</f>
        <v>9.4499941250273114</v>
      </c>
      <c r="M13">
        <f>AVEDEV(M2:M10)</f>
        <v>0.3457454556308549</v>
      </c>
      <c r="N13">
        <f>AVEDEV(N2:N10)</f>
        <v>8.7242675917227146</v>
      </c>
      <c r="O13">
        <f>AVEDEV(O2:O10)</f>
        <v>0.3913326279675689</v>
      </c>
    </row>
    <row r="14" spans="1:18">
      <c r="K14" t="s">
        <v>38</v>
      </c>
      <c r="L14">
        <f>_xlfn.STDEV.S(L2:L10)</f>
        <v>12.127504247561697</v>
      </c>
      <c r="M14">
        <f>_xlfn.STDEV.S(M2:M10)</f>
        <v>0.49850984681122523</v>
      </c>
      <c r="N14">
        <f>_xlfn.STDEV.S(N2:N10)</f>
        <v>9.9516702094402127</v>
      </c>
      <c r="O14">
        <f>_xlfn.STDEV.S(O2:O10)</f>
        <v>0.50149779986551124</v>
      </c>
    </row>
    <row r="15" spans="1:18">
      <c r="F15" t="s">
        <v>25</v>
      </c>
    </row>
    <row r="16" spans="1:18">
      <c r="F16">
        <f>(D10-D8)/(F10-F8)</f>
        <v>4.2844901456726647E-2</v>
      </c>
      <c r="L16">
        <f>L13*$F16</f>
        <v>0.40488406705344093</v>
      </c>
      <c r="M16">
        <f>M13*$F16</f>
        <v>1.4813429975615034E-2</v>
      </c>
      <c r="N16">
        <f>N13*$F16</f>
        <v>0.37379038524947361</v>
      </c>
      <c r="O16">
        <f>O13*$F16</f>
        <v>1.6766607882072359E-2</v>
      </c>
    </row>
    <row r="17" spans="10:15">
      <c r="L17" t="s">
        <v>26</v>
      </c>
      <c r="N17" t="s">
        <v>26</v>
      </c>
    </row>
    <row r="19" spans="10:15">
      <c r="J19" t="s">
        <v>40</v>
      </c>
      <c r="K19" t="s">
        <v>36</v>
      </c>
      <c r="L19">
        <f>L12*$F$16</f>
        <v>36.273919991086188</v>
      </c>
      <c r="M19">
        <f t="shared" ref="M19:O19" si="8">M12*$F$16</f>
        <v>6.221365805793682E-2</v>
      </c>
      <c r="N19">
        <f t="shared" si="8"/>
        <v>36.475979767516947</v>
      </c>
      <c r="O19">
        <f t="shared" si="8"/>
        <v>5.4575137562636496E-2</v>
      </c>
    </row>
    <row r="20" spans="10:15">
      <c r="K20" t="s">
        <v>37</v>
      </c>
      <c r="L20">
        <f t="shared" ref="L20:O21" si="9">L13*$F$16</f>
        <v>0.40488406705344093</v>
      </c>
      <c r="M20">
        <f t="shared" si="9"/>
        <v>1.4813429975615034E-2</v>
      </c>
      <c r="N20">
        <f t="shared" si="9"/>
        <v>0.37379038524947361</v>
      </c>
      <c r="O20">
        <f t="shared" si="9"/>
        <v>1.6766607882072359E-2</v>
      </c>
    </row>
    <row r="21" spans="10:15">
      <c r="K21" t="s">
        <v>38</v>
      </c>
      <c r="L21">
        <f t="shared" si="9"/>
        <v>0.51960172440281482</v>
      </c>
      <c r="M21">
        <f t="shared" si="9"/>
        <v>2.1358605261834841E-2</v>
      </c>
      <c r="N21">
        <f t="shared" si="9"/>
        <v>0.42637832945330817</v>
      </c>
      <c r="O21">
        <f t="shared" si="9"/>
        <v>2.148662381600305E-2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BD0E-7196-4D90-8E31-B1CB99FD6A52}">
  <dimension ref="A1:U38"/>
  <sheetViews>
    <sheetView tabSelected="1" topLeftCell="D16" workbookViewId="0">
      <selection activeCell="H39" sqref="H39"/>
    </sheetView>
  </sheetViews>
  <sheetFormatPr defaultColWidth="11" defaultRowHeight="14.25"/>
  <cols>
    <col min="1" max="1" width="13.75" customWidth="1"/>
    <col min="2" max="2" width="26.125" customWidth="1"/>
    <col min="6" max="6" width="17.875" customWidth="1"/>
    <col min="7" max="7" width="16.875" customWidth="1"/>
    <col min="12" max="12" width="14.25" customWidth="1"/>
    <col min="15" max="15" width="20.375" customWidth="1"/>
    <col min="16" max="16" width="23.125" customWidth="1"/>
  </cols>
  <sheetData>
    <row r="1" spans="1:2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53</v>
      </c>
      <c r="G1" t="s">
        <v>54</v>
      </c>
      <c r="H1" t="s">
        <v>8</v>
      </c>
      <c r="I1" t="s">
        <v>9</v>
      </c>
      <c r="J1" t="s">
        <v>10</v>
      </c>
      <c r="K1" t="s">
        <v>11</v>
      </c>
      <c r="L1" t="s">
        <v>14</v>
      </c>
      <c r="M1" t="s">
        <v>15</v>
      </c>
      <c r="N1" t="s">
        <v>16</v>
      </c>
      <c r="O1" t="s">
        <v>17</v>
      </c>
      <c r="P1" t="s">
        <v>59</v>
      </c>
      <c r="Q1" t="s">
        <v>55</v>
      </c>
      <c r="R1" t="s">
        <v>56</v>
      </c>
      <c r="S1" t="s">
        <v>57</v>
      </c>
      <c r="T1" t="s">
        <v>58</v>
      </c>
    </row>
    <row r="2" spans="1:21">
      <c r="B2" t="s">
        <v>41</v>
      </c>
      <c r="C2">
        <v>-162</v>
      </c>
      <c r="D2">
        <v>-57</v>
      </c>
      <c r="E2">
        <v>-50</v>
      </c>
      <c r="F2">
        <v>632</v>
      </c>
      <c r="G2">
        <v>256</v>
      </c>
      <c r="H2">
        <v>1477</v>
      </c>
      <c r="I2">
        <v>264</v>
      </c>
      <c r="J2">
        <v>1458</v>
      </c>
      <c r="K2">
        <v>1124</v>
      </c>
      <c r="L2">
        <f t="shared" ref="L2:L7" si="0">SQRT((I2-G2)^2+(H2-F2)^2)</f>
        <v>845.03786897392945</v>
      </c>
      <c r="M2">
        <f t="shared" ref="M2:M7" si="1">DEGREES(ATAN((I2-G2)/(H2-F2)))</f>
        <v>0.54242904375254897</v>
      </c>
      <c r="N2">
        <f t="shared" ref="N2:N7" si="2">SQRT((K2-I2)^2+(J2-H2)^2)</f>
        <v>860.20985811602975</v>
      </c>
      <c r="O2">
        <f t="shared" ref="O2:O7" si="3">DEGREES(ATAN((H2-J2)/(K2-I2)))</f>
        <v>1.2656310971513425</v>
      </c>
      <c r="P2" s="3">
        <f>AVERAGE(M2,O2)</f>
        <v>0.90403007045194572</v>
      </c>
      <c r="Q2">
        <f>SQRT((F3-F2)^2+(G3-G2)^2)</f>
        <v>1161.0155037724519</v>
      </c>
      <c r="R2">
        <f>SQRT((H3-H2)^2+(I3-I2)^2)</f>
        <v>1175.0344675795684</v>
      </c>
      <c r="S2">
        <f>SQRT((J3-J2)^2+(K3-K2)^3)</f>
        <v>1179.1454532838602</v>
      </c>
      <c r="T2">
        <f>DEGREES(ATAN((G4-G2)/(F4-F2)))</f>
        <v>0.12279402441200288</v>
      </c>
      <c r="U2">
        <f>DEGREES(ATAN((I4-I2)/(H4-H2)))</f>
        <v>0.76324198645176933</v>
      </c>
    </row>
    <row r="3" spans="1:21">
      <c r="A3" s="2"/>
      <c r="B3" s="2" t="s">
        <v>42</v>
      </c>
      <c r="C3" s="2">
        <v>-162</v>
      </c>
      <c r="D3" s="2">
        <v>-7</v>
      </c>
      <c r="E3" s="2">
        <v>-50</v>
      </c>
      <c r="F3" s="2">
        <v>1793</v>
      </c>
      <c r="G3" s="2">
        <v>250</v>
      </c>
      <c r="H3" s="2">
        <v>2652</v>
      </c>
      <c r="I3" s="2">
        <v>273</v>
      </c>
      <c r="J3" s="2">
        <v>2637</v>
      </c>
      <c r="K3" s="2">
        <v>1131</v>
      </c>
      <c r="L3" s="2">
        <f t="shared" si="0"/>
        <v>859.30786101373474</v>
      </c>
      <c r="M3" s="2">
        <f t="shared" si="1"/>
        <v>1.5337463858157179</v>
      </c>
      <c r="N3" s="2">
        <f t="shared" si="2"/>
        <v>858.1311088639078</v>
      </c>
      <c r="O3" s="2">
        <f t="shared" si="3"/>
        <v>1.001572435655772</v>
      </c>
      <c r="P3" s="3">
        <f t="shared" ref="P3:P9" si="4">AVERAGE(M3,O3)</f>
        <v>1.2676594107357451</v>
      </c>
      <c r="Q3">
        <f>SQRT((F4-F3)^2+(G4-G3)^2)</f>
        <v>1172.0516200236234</v>
      </c>
      <c r="R3">
        <f>SQRT((H4-H3)^2+(I4-I3)^2)</f>
        <v>1152.21005029465</v>
      </c>
      <c r="S3">
        <f>SQRT((J4-J3)^2+(K4-K3)^3)</f>
        <v>1157.4320714409118</v>
      </c>
    </row>
    <row r="4" spans="1:21">
      <c r="B4" t="s">
        <v>43</v>
      </c>
      <c r="C4">
        <v>-162</v>
      </c>
      <c r="D4">
        <v>43</v>
      </c>
      <c r="E4">
        <v>-50</v>
      </c>
      <c r="F4">
        <v>2965</v>
      </c>
      <c r="G4">
        <v>261</v>
      </c>
      <c r="H4">
        <v>3804</v>
      </c>
      <c r="I4">
        <v>295</v>
      </c>
      <c r="J4">
        <v>3794</v>
      </c>
      <c r="K4">
        <v>1141</v>
      </c>
      <c r="L4">
        <f t="shared" si="0"/>
        <v>839.68863276812317</v>
      </c>
      <c r="M4">
        <f t="shared" si="1"/>
        <v>2.3206092580724413</v>
      </c>
      <c r="N4">
        <f t="shared" si="2"/>
        <v>846.05909959056646</v>
      </c>
      <c r="O4">
        <f t="shared" si="3"/>
        <v>0.67722353755369358</v>
      </c>
      <c r="P4" s="3">
        <f t="shared" si="4"/>
        <v>1.4989163978130675</v>
      </c>
      <c r="Q4">
        <f>SQRT((F6-F5)^2+(G6-G5)^2)</f>
        <v>1166.0038593418119</v>
      </c>
      <c r="R4">
        <f>SQRT((H6-H5)^2+(I6-I5)^2)</f>
        <v>1177.0106201729873</v>
      </c>
      <c r="S4">
        <f>SQRT((J6-J5)^2+(K6-K5)^3)</f>
        <v>1176.145824292209</v>
      </c>
      <c r="T4">
        <f>DEGREES(ATAN((G7-G5)/(F7-F5)))</f>
        <v>0.31681732978909366</v>
      </c>
      <c r="U4">
        <f>DEGREES(ATAN((I7-I5)/(H7-H5)))</f>
        <v>0.44319014282795544</v>
      </c>
    </row>
    <row r="5" spans="1:21">
      <c r="A5" s="2"/>
      <c r="B5" s="2" t="s">
        <v>44</v>
      </c>
      <c r="C5" s="2">
        <v>-202</v>
      </c>
      <c r="D5" s="2">
        <v>-57</v>
      </c>
      <c r="E5" s="2">
        <v>-50</v>
      </c>
      <c r="F5" s="2">
        <v>623</v>
      </c>
      <c r="G5" s="2">
        <v>1185</v>
      </c>
      <c r="H5" s="2">
        <v>1472</v>
      </c>
      <c r="I5" s="2">
        <v>1204</v>
      </c>
      <c r="J5" s="2">
        <v>1456</v>
      </c>
      <c r="K5" s="2">
        <v>2066</v>
      </c>
      <c r="L5" s="2">
        <f t="shared" si="0"/>
        <v>849.21257644950128</v>
      </c>
      <c r="M5" s="2">
        <f t="shared" si="1"/>
        <v>1.2820237065954048</v>
      </c>
      <c r="N5" s="2">
        <f t="shared" si="2"/>
        <v>862.1484790916237</v>
      </c>
      <c r="O5" s="2">
        <f t="shared" si="3"/>
        <v>1.0633726377549007</v>
      </c>
      <c r="P5" s="3">
        <f t="shared" si="4"/>
        <v>1.1726981721751528</v>
      </c>
      <c r="Q5">
        <f>SQRT((F7-F6)^2+(G7-G6)^2)</f>
        <v>1185.0421933416549</v>
      </c>
      <c r="R5">
        <f>SQRT((H7-H6)^2+(I7-I6)^2)</f>
        <v>1150.0734759136044</v>
      </c>
      <c r="S5">
        <f>SQRT((J7-J6)^2+(K7-K6)^3)</f>
        <v>1143.9881992398348</v>
      </c>
    </row>
    <row r="6" spans="1:21">
      <c r="A6" s="1"/>
      <c r="B6" s="1" t="s">
        <v>45</v>
      </c>
      <c r="C6" s="1">
        <v>-202</v>
      </c>
      <c r="D6" s="1">
        <v>-7</v>
      </c>
      <c r="E6" s="1">
        <v>-50</v>
      </c>
      <c r="F6" s="1">
        <v>1789</v>
      </c>
      <c r="G6" s="1">
        <v>1188</v>
      </c>
      <c r="H6" s="1">
        <v>2649</v>
      </c>
      <c r="I6" s="1">
        <v>1209</v>
      </c>
      <c r="J6" s="1">
        <v>2632</v>
      </c>
      <c r="K6" s="1">
        <v>2073</v>
      </c>
      <c r="L6" s="1">
        <f t="shared" si="0"/>
        <v>860.25635714012594</v>
      </c>
      <c r="M6" s="1">
        <f t="shared" si="1"/>
        <v>1.3988050112961989</v>
      </c>
      <c r="N6" s="1">
        <f t="shared" si="2"/>
        <v>864.16722918657354</v>
      </c>
      <c r="O6" s="1">
        <f t="shared" si="3"/>
        <v>1.1272020661380835</v>
      </c>
      <c r="P6" s="3">
        <f t="shared" si="4"/>
        <v>1.2630035387171412</v>
      </c>
      <c r="Q6">
        <f>SQRT((F9-F8)^2+(G9-G8)^2)</f>
        <v>1160.0844796824065</v>
      </c>
      <c r="R6">
        <f>SQRT((H9-H8)^2+(I9-I8)^2)</f>
        <v>1175.0344675795684</v>
      </c>
      <c r="S6">
        <f>SQRT((J9-J8)^2+(K9-K8)^3)</f>
        <v>1159.1479629451972</v>
      </c>
      <c r="T6">
        <f>DEGREES(ATAN((G10-G8)/(F10-F8)))</f>
        <v>0.44186100494826058</v>
      </c>
      <c r="U6">
        <f>DEGREES(ATAN((I10-I8)/(H10-H8)))</f>
        <v>0.14792337060063362</v>
      </c>
    </row>
    <row r="7" spans="1:21">
      <c r="A7" s="2"/>
      <c r="B7" s="2" t="s">
        <v>46</v>
      </c>
      <c r="C7" s="2">
        <v>-202</v>
      </c>
      <c r="D7" s="2">
        <v>43</v>
      </c>
      <c r="E7" s="2">
        <v>-50</v>
      </c>
      <c r="F7" s="2">
        <v>2974</v>
      </c>
      <c r="G7" s="2">
        <v>1198</v>
      </c>
      <c r="H7" s="2">
        <v>3799</v>
      </c>
      <c r="I7" s="2">
        <v>1222</v>
      </c>
      <c r="J7" s="2">
        <v>3776</v>
      </c>
      <c r="K7" s="2">
        <v>2070</v>
      </c>
      <c r="L7" s="2">
        <f t="shared" si="0"/>
        <v>825.34901708307621</v>
      </c>
      <c r="M7" s="2">
        <f t="shared" si="1"/>
        <v>1.6663163618532455</v>
      </c>
      <c r="N7" s="2">
        <f t="shared" si="2"/>
        <v>848.31185303519135</v>
      </c>
      <c r="O7" s="2">
        <f t="shared" si="3"/>
        <v>1.5536319923636237</v>
      </c>
      <c r="P7" s="3">
        <f t="shared" si="4"/>
        <v>1.6099741771084346</v>
      </c>
      <c r="Q7">
        <f>SQRT((F10-F9)^2+(G10-G9)^2)</f>
        <v>1174.0068142902749</v>
      </c>
      <c r="R7">
        <f>SQRT((H10-H9)^2+(I10-I9)^2)</f>
        <v>1149.0039164424115</v>
      </c>
      <c r="S7">
        <f>SQRT((J10-J9)^2+(K10-K9)^3)</f>
        <v>1143.6813367367677</v>
      </c>
    </row>
    <row r="8" spans="1:21">
      <c r="B8" t="s">
        <v>47</v>
      </c>
      <c r="C8">
        <v>-242</v>
      </c>
      <c r="D8">
        <v>-57</v>
      </c>
      <c r="E8">
        <v>-50</v>
      </c>
      <c r="F8">
        <v>624</v>
      </c>
      <c r="G8">
        <v>2118</v>
      </c>
      <c r="H8">
        <v>1469</v>
      </c>
      <c r="I8">
        <v>2145</v>
      </c>
      <c r="J8">
        <v>1458</v>
      </c>
      <c r="K8">
        <v>2989</v>
      </c>
      <c r="L8">
        <f t="shared" ref="L8:L10" si="5">SQRT((I8-G8)^2+(H8-F8)^2)</f>
        <v>845.43125090098249</v>
      </c>
      <c r="M8">
        <f t="shared" ref="M8:M10" si="6">DEGREES(ATAN((I8-G8)/(H8-F8)))</f>
        <v>1.8301300500734854</v>
      </c>
      <c r="N8">
        <f t="shared" ref="N8:N10" si="7">SQRT((K8-I8)^2+(J8-H8)^2)</f>
        <v>844.071679420652</v>
      </c>
      <c r="O8">
        <f t="shared" ref="O8:O10" si="8">DEGREES(ATAN((H8-J8)/(K8-I8)))</f>
        <v>0.74670366416376277</v>
      </c>
      <c r="P8" s="3">
        <f t="shared" si="4"/>
        <v>1.2884168571186241</v>
      </c>
    </row>
    <row r="9" spans="1:21">
      <c r="A9" s="2"/>
      <c r="B9" s="2" t="s">
        <v>48</v>
      </c>
      <c r="C9" s="2">
        <v>-242</v>
      </c>
      <c r="D9" s="2">
        <v>-7</v>
      </c>
      <c r="E9" s="2">
        <v>-50</v>
      </c>
      <c r="F9" s="2">
        <v>1784</v>
      </c>
      <c r="G9" s="2">
        <v>2132</v>
      </c>
      <c r="H9" s="2">
        <v>2644</v>
      </c>
      <c r="I9" s="2">
        <v>2154</v>
      </c>
      <c r="J9" s="2">
        <v>2617</v>
      </c>
      <c r="K9" s="2">
        <v>2996</v>
      </c>
      <c r="L9" s="2">
        <f t="shared" si="5"/>
        <v>860.28134932706757</v>
      </c>
      <c r="M9" s="2">
        <f t="shared" si="6"/>
        <v>1.4653863898851833</v>
      </c>
      <c r="N9" s="2">
        <f t="shared" si="7"/>
        <v>842.43278663641763</v>
      </c>
      <c r="O9" s="2">
        <f t="shared" si="8"/>
        <v>1.8366462454018195</v>
      </c>
      <c r="P9" s="3">
        <f t="shared" si="4"/>
        <v>1.6510163176435015</v>
      </c>
    </row>
    <row r="10" spans="1:21">
      <c r="B10" t="s">
        <v>49</v>
      </c>
      <c r="C10">
        <v>-242</v>
      </c>
      <c r="D10">
        <v>43</v>
      </c>
      <c r="E10">
        <v>-50</v>
      </c>
      <c r="F10">
        <v>2958</v>
      </c>
      <c r="G10">
        <v>2136</v>
      </c>
      <c r="H10">
        <v>3793</v>
      </c>
      <c r="I10">
        <v>2151</v>
      </c>
      <c r="J10">
        <v>3761</v>
      </c>
      <c r="K10">
        <v>2987</v>
      </c>
      <c r="L10">
        <f t="shared" si="5"/>
        <v>835.13471967102407</v>
      </c>
      <c r="M10">
        <f t="shared" si="6"/>
        <v>1.0291548043059813</v>
      </c>
      <c r="N10">
        <f t="shared" si="7"/>
        <v>836.61221602364856</v>
      </c>
      <c r="O10">
        <f t="shared" si="8"/>
        <v>2.1920697202244241</v>
      </c>
      <c r="P10" s="5">
        <f>AVERAGE(P2:P9)</f>
        <v>1.3319643677204516</v>
      </c>
    </row>
    <row r="12" spans="1:21">
      <c r="J12" t="s">
        <v>39</v>
      </c>
      <c r="K12" t="s">
        <v>36</v>
      </c>
      <c r="L12">
        <f>AVERAGE(L2:L10)</f>
        <v>846.63329259195166</v>
      </c>
      <c r="M12">
        <f>AVERAGE(M2:M10)</f>
        <v>1.4520667790722455</v>
      </c>
      <c r="N12">
        <f>AVERAGE(N2:N10)</f>
        <v>851.34936777384564</v>
      </c>
      <c r="O12">
        <f>AVERAGE(O2:O10)</f>
        <v>1.2737837107119359</v>
      </c>
      <c r="Q12">
        <f>AVERAGE(Q2:Q10)</f>
        <v>1169.7007450753706</v>
      </c>
      <c r="R12">
        <f>AVERAGE(R2:R10)</f>
        <v>1163.0611663304651</v>
      </c>
      <c r="S12">
        <f>AVERAGE(S2:S10)</f>
        <v>1159.9234746564634</v>
      </c>
    </row>
    <row r="13" spans="1:21">
      <c r="K13" t="s">
        <v>37</v>
      </c>
      <c r="L13">
        <f>AVEDEV(L2:L10)</f>
        <v>9.4499941250273114</v>
      </c>
      <c r="M13">
        <f>AVEDEV(M2:M10)</f>
        <v>0.3457454556308549</v>
      </c>
      <c r="N13">
        <f>AVEDEV(N2:N10)</f>
        <v>8.7242675917227146</v>
      </c>
      <c r="O13">
        <f>AVEDEV(O2:O10)</f>
        <v>0.3913326279675689</v>
      </c>
      <c r="Q13">
        <f>AVEDEV(Q2:Q10)</f>
        <v>7.3327974764804749</v>
      </c>
      <c r="R13">
        <f>AVEDEV(R2:R10)</f>
        <v>12.632018780243015</v>
      </c>
      <c r="S13">
        <f>AVEDEV(S2:S10)</f>
        <v>11.814776087714108</v>
      </c>
    </row>
    <row r="14" spans="1:21">
      <c r="K14" t="s">
        <v>38</v>
      </c>
      <c r="L14">
        <f>_xlfn.STDEV.S(L2:L10)</f>
        <v>12.127504247561697</v>
      </c>
      <c r="M14">
        <f>_xlfn.STDEV.S(M2:M10)</f>
        <v>0.49850984681122523</v>
      </c>
      <c r="N14">
        <f>_xlfn.STDEV.S(N2:N10)</f>
        <v>9.9516702094402127</v>
      </c>
      <c r="O14">
        <f>_xlfn.STDEV.S(O2:O10)</f>
        <v>0.50149779986551124</v>
      </c>
      <c r="Q14">
        <f>_xlfn.STDEV.S(Q2:Q10)</f>
        <v>9.3915048925907456</v>
      </c>
      <c r="R14">
        <f>_xlfn.STDEV.S(R2:R10)</f>
        <v>13.894892904303608</v>
      </c>
      <c r="S14">
        <f>_xlfn.STDEV.S(S2:S10)</f>
        <v>15.213136726260453</v>
      </c>
    </row>
    <row r="15" spans="1:21">
      <c r="F15" t="s">
        <v>25</v>
      </c>
    </row>
    <row r="16" spans="1:21">
      <c r="F16">
        <f>(D10-D8)/(F10-F8)</f>
        <v>4.2844901456726647E-2</v>
      </c>
      <c r="L16">
        <f>L13*$F16</f>
        <v>0.40488406705344093</v>
      </c>
      <c r="M16">
        <f>M13*$F16</f>
        <v>1.4813429975615034E-2</v>
      </c>
      <c r="N16">
        <f>N13*$F16</f>
        <v>0.37379038524947361</v>
      </c>
      <c r="O16">
        <f>O13*$F16</f>
        <v>1.6766607882072359E-2</v>
      </c>
    </row>
    <row r="17" spans="4:19">
      <c r="L17" t="s">
        <v>26</v>
      </c>
      <c r="N17" t="s">
        <v>26</v>
      </c>
    </row>
    <row r="19" spans="4:19">
      <c r="J19" t="s">
        <v>40</v>
      </c>
      <c r="K19" t="s">
        <v>36</v>
      </c>
      <c r="L19">
        <f>L12*$F$16</f>
        <v>36.273919991086188</v>
      </c>
      <c r="M19">
        <f t="shared" ref="M19:O19" si="9">M12*$F$16</f>
        <v>6.221365805793682E-2</v>
      </c>
      <c r="N19">
        <f t="shared" si="9"/>
        <v>36.475979767516947</v>
      </c>
      <c r="O19">
        <f t="shared" si="9"/>
        <v>5.4575137562636496E-2</v>
      </c>
    </row>
    <row r="20" spans="4:19">
      <c r="K20" t="s">
        <v>37</v>
      </c>
      <c r="L20">
        <f t="shared" ref="L20:O21" si="10">L13*$F$16</f>
        <v>0.40488406705344093</v>
      </c>
      <c r="M20">
        <f t="shared" si="10"/>
        <v>1.4813429975615034E-2</v>
      </c>
      <c r="N20">
        <f t="shared" si="10"/>
        <v>0.37379038524947361</v>
      </c>
      <c r="O20">
        <f t="shared" si="10"/>
        <v>1.6766607882072359E-2</v>
      </c>
    </row>
    <row r="21" spans="4:19">
      <c r="K21" t="s">
        <v>38</v>
      </c>
      <c r="L21">
        <f t="shared" si="10"/>
        <v>0.51960172440281482</v>
      </c>
      <c r="M21">
        <f t="shared" si="10"/>
        <v>2.1358605261834841E-2</v>
      </c>
      <c r="N21">
        <f t="shared" si="10"/>
        <v>0.42637832945330817</v>
      </c>
      <c r="O21">
        <f t="shared" si="10"/>
        <v>2.148662381600305E-2</v>
      </c>
    </row>
    <row r="22" spans="4:19">
      <c r="F22" t="s">
        <v>51</v>
      </c>
      <c r="G22" t="s">
        <v>52</v>
      </c>
      <c r="H22" t="s">
        <v>51</v>
      </c>
      <c r="I22" t="s">
        <v>52</v>
      </c>
      <c r="J22" t="s">
        <v>51</v>
      </c>
      <c r="K22" t="s">
        <v>52</v>
      </c>
    </row>
    <row r="23" spans="4:19">
      <c r="D23" s="3" t="s">
        <v>26</v>
      </c>
      <c r="E23" s="3"/>
      <c r="F23" s="3">
        <v>50</v>
      </c>
      <c r="G23" s="3">
        <v>40</v>
      </c>
      <c r="H23" s="3">
        <v>50</v>
      </c>
      <c r="I23" s="3">
        <v>40</v>
      </c>
      <c r="J23" s="3">
        <v>50</v>
      </c>
      <c r="K23" s="3">
        <v>40</v>
      </c>
      <c r="Q23">
        <v>50</v>
      </c>
      <c r="R23">
        <v>50</v>
      </c>
      <c r="S23">
        <v>50</v>
      </c>
    </row>
    <row r="24" spans="4:19">
      <c r="D24" t="s">
        <v>50</v>
      </c>
      <c r="E24">
        <v>1</v>
      </c>
      <c r="F24">
        <f>(F3-F2)/F$23</f>
        <v>23.22</v>
      </c>
      <c r="G24">
        <f>(G5-G2)/G$23</f>
        <v>23.225000000000001</v>
      </c>
      <c r="H24">
        <f>(H3-H2)/H$23</f>
        <v>23.5</v>
      </c>
      <c r="I24">
        <f>(I5-I2)/I$23</f>
        <v>23.5</v>
      </c>
      <c r="J24">
        <f>(J3-J2)/J$23</f>
        <v>23.58</v>
      </c>
      <c r="K24">
        <f>(K5-K2)/K$23</f>
        <v>23.55</v>
      </c>
      <c r="Q24">
        <f>Q2/Q$23</f>
        <v>23.220310075449039</v>
      </c>
      <c r="R24">
        <f>R2/R$23</f>
        <v>23.500689351591369</v>
      </c>
      <c r="S24">
        <f>S2/S$23</f>
        <v>23.582909065677203</v>
      </c>
    </row>
    <row r="25" spans="4:19">
      <c r="E25">
        <v>2</v>
      </c>
      <c r="F25">
        <f>(F4-F3)/F$23</f>
        <v>23.44</v>
      </c>
      <c r="G25">
        <f>(G6-G3)/G$23</f>
        <v>23.45</v>
      </c>
      <c r="H25">
        <f>(H4-H3)/H$23</f>
        <v>23.04</v>
      </c>
      <c r="I25">
        <f>(I6-I3)/I$23</f>
        <v>23.4</v>
      </c>
      <c r="J25">
        <f>(J4-J3)/J$23</f>
        <v>23.14</v>
      </c>
      <c r="K25">
        <f>(K6-K3)/K$23</f>
        <v>23.55</v>
      </c>
      <c r="Q25">
        <f t="shared" ref="Q25:R29" si="11">Q3/Q$23</f>
        <v>23.441032400472469</v>
      </c>
      <c r="R25">
        <f t="shared" si="11"/>
        <v>23.044201005893001</v>
      </c>
      <c r="S25">
        <f t="shared" ref="S25" si="12">S3/S$23</f>
        <v>23.148641428818237</v>
      </c>
    </row>
    <row r="26" spans="4:19">
      <c r="E26">
        <v>3</v>
      </c>
      <c r="F26">
        <f>(F6-F5)/F$23</f>
        <v>23.32</v>
      </c>
      <c r="G26">
        <f>(G7-G4)/G$23</f>
        <v>23.425000000000001</v>
      </c>
      <c r="H26">
        <f>(H6-H5)/H$23</f>
        <v>23.54</v>
      </c>
      <c r="I26">
        <f>(I7-I4)/I$23</f>
        <v>23.175000000000001</v>
      </c>
      <c r="J26">
        <f>(J6-J5)/J$23</f>
        <v>23.52</v>
      </c>
      <c r="K26">
        <f>(K7-K4)/K$23</f>
        <v>23.225000000000001</v>
      </c>
      <c r="Q26">
        <f t="shared" si="11"/>
        <v>23.320077186836237</v>
      </c>
      <c r="R26">
        <f t="shared" si="11"/>
        <v>23.540212403459744</v>
      </c>
      <c r="S26">
        <f t="shared" ref="S26" si="13">S4/S$23</f>
        <v>23.522916485844181</v>
      </c>
    </row>
    <row r="27" spans="4:19">
      <c r="E27">
        <v>4</v>
      </c>
      <c r="F27">
        <f>(F7-F6)/F$23</f>
        <v>23.7</v>
      </c>
      <c r="G27">
        <f>(G8-G5)/G$23</f>
        <v>23.324999999999999</v>
      </c>
      <c r="H27">
        <f>(H7-H6)/H$23</f>
        <v>23</v>
      </c>
      <c r="I27">
        <f>(I8-I5)/I$23</f>
        <v>23.524999999999999</v>
      </c>
      <c r="J27">
        <f>(J7-J6)/J$23</f>
        <v>22.88</v>
      </c>
      <c r="K27">
        <f>(K8-K5)/K$23</f>
        <v>23.074999999999999</v>
      </c>
      <c r="Q27">
        <f t="shared" si="11"/>
        <v>23.700843866833097</v>
      </c>
      <c r="R27">
        <f t="shared" si="11"/>
        <v>23.001469518272089</v>
      </c>
      <c r="S27">
        <f t="shared" ref="S27" si="14">S5/S$23</f>
        <v>22.879763984796696</v>
      </c>
    </row>
    <row r="28" spans="4:19">
      <c r="E28">
        <v>5</v>
      </c>
      <c r="F28">
        <f>(F9-F8)/F$23</f>
        <v>23.2</v>
      </c>
      <c r="G28">
        <f t="shared" ref="G28:I29" si="15">(G9-G6)/G$23</f>
        <v>23.6</v>
      </c>
      <c r="H28">
        <f>(H9-H8)/H$23</f>
        <v>23.5</v>
      </c>
      <c r="I28">
        <f t="shared" si="15"/>
        <v>23.625</v>
      </c>
      <c r="J28">
        <f>(J9-J8)/J$23</f>
        <v>23.18</v>
      </c>
      <c r="K28">
        <f t="shared" ref="K28" si="16">(K9-K6)/K$23</f>
        <v>23.074999999999999</v>
      </c>
      <c r="Q28">
        <f t="shared" si="11"/>
        <v>23.20168959364813</v>
      </c>
      <c r="R28">
        <f t="shared" si="11"/>
        <v>23.500689351591369</v>
      </c>
      <c r="S28">
        <f t="shared" ref="S28" si="17">S6/S$23</f>
        <v>23.182959258903942</v>
      </c>
    </row>
    <row r="29" spans="4:19">
      <c r="E29">
        <v>6</v>
      </c>
      <c r="F29">
        <f>(F10-F9)/F$23</f>
        <v>23.48</v>
      </c>
      <c r="G29">
        <f t="shared" si="15"/>
        <v>23.45</v>
      </c>
      <c r="H29">
        <f>(H10-H9)/H$23</f>
        <v>22.98</v>
      </c>
      <c r="I29">
        <f t="shared" si="15"/>
        <v>23.225000000000001</v>
      </c>
      <c r="J29">
        <f>(J10-J9)/J$23</f>
        <v>22.88</v>
      </c>
      <c r="K29">
        <f t="shared" ref="K29" si="18">(K10-K7)/K$23</f>
        <v>22.925000000000001</v>
      </c>
      <c r="Q29">
        <f t="shared" si="11"/>
        <v>23.480136285805496</v>
      </c>
      <c r="R29">
        <f t="shared" si="11"/>
        <v>22.980078328848229</v>
      </c>
      <c r="S29">
        <f t="shared" ref="S29" si="19">S7/S$23</f>
        <v>22.873626734735353</v>
      </c>
    </row>
    <row r="30" spans="4:19">
      <c r="E30" t="s">
        <v>36</v>
      </c>
      <c r="F30" s="1">
        <f>AVERAGE(F24:F29)</f>
        <v>23.393333333333331</v>
      </c>
      <c r="G30" s="1">
        <f t="shared" ref="G30:K30" si="20">AVERAGE(G24:G29)</f>
        <v>23.412499999999998</v>
      </c>
      <c r="H30" s="1">
        <f t="shared" si="20"/>
        <v>23.26</v>
      </c>
      <c r="I30" s="1">
        <f t="shared" si="20"/>
        <v>23.408333333333331</v>
      </c>
      <c r="J30" s="1">
        <f t="shared" si="20"/>
        <v>23.196666666666662</v>
      </c>
      <c r="K30" s="1">
        <f t="shared" si="20"/>
        <v>23.233333333333334</v>
      </c>
      <c r="L30" s="4">
        <f>AVERAGE(F30:K30)</f>
        <v>23.317361111111108</v>
      </c>
      <c r="P30">
        <f>AVERAGE(Q30:S30)</f>
        <v>23.284569240415323</v>
      </c>
      <c r="Q30" s="1">
        <f>AVERAGE(Q24:Q29)</f>
        <v>23.394014901507408</v>
      </c>
      <c r="R30" s="1">
        <f>AVERAGE(R24:R29)</f>
        <v>23.261223326609301</v>
      </c>
      <c r="S30" s="1">
        <f>AVERAGE(S24:S29)</f>
        <v>23.198469493129267</v>
      </c>
    </row>
    <row r="32" spans="4:19">
      <c r="F32">
        <f>(F3-F2)/L30</f>
        <v>49.791226136938981</v>
      </c>
    </row>
    <row r="34" spans="5:12">
      <c r="E34" t="s">
        <v>60</v>
      </c>
    </row>
    <row r="35" spans="5:12">
      <c r="E35" t="s">
        <v>62</v>
      </c>
      <c r="F35">
        <v>845</v>
      </c>
      <c r="G35" t="s">
        <v>61</v>
      </c>
      <c r="H35">
        <v>23.3</v>
      </c>
      <c r="I35" t="s">
        <v>63</v>
      </c>
      <c r="K35">
        <f>F35/H35</f>
        <v>36.266094420600858</v>
      </c>
      <c r="L35" t="s">
        <v>64</v>
      </c>
    </row>
    <row r="36" spans="5:12">
      <c r="E36" t="s">
        <v>65</v>
      </c>
    </row>
    <row r="38" spans="5:12">
      <c r="E38" t="s">
        <v>66</v>
      </c>
      <c r="F38" t="s">
        <v>67</v>
      </c>
      <c r="H38">
        <f>SQRT((846 / 2)^2 + (846 / 2)^2)</f>
        <v>598.21233688381926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 -30</vt:lpstr>
      <vt:lpstr>Z -40</vt:lpstr>
      <vt:lpstr>Z -50</vt:lpstr>
      <vt:lpstr>Z -50 get pixels en positions</vt:lpstr>
    </vt:vector>
  </TitlesOfParts>
  <Company>HESSO Valais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Lenoir Cédric</dc:creator>
  <cp:lastModifiedBy>Lenoir Cédric</cp:lastModifiedBy>
  <dcterms:created xsi:type="dcterms:W3CDTF">2025-10-28T06:44:19Z</dcterms:created>
  <dcterms:modified xsi:type="dcterms:W3CDTF">2025-11-03T09:30:56Z</dcterms:modified>
</cp:coreProperties>
</file>